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0F5C42A1-7313-49DC-AB9E-C30F223E8AD5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externalReferences>
    <externalReference r:id="rId3"/>
  </externalReferences>
  <definedNames>
    <definedName name="_xlnm._FilterDatabase" localSheetId="0" hidden="1">DISPO!$B$1:$AA$6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2" i="3"/>
</calcChain>
</file>

<file path=xl/sharedStrings.xml><?xml version="1.0" encoding="utf-8"?>
<sst xmlns="http://schemas.openxmlformats.org/spreadsheetml/2006/main" count="228" uniqueCount="110">
  <si>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</si>
  <si>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</si>
  <si>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</si>
  <si>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</si>
  <si>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</si>
  <si>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</si>
  <si>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</si>
  <si>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</si>
  <si>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</si>
  <si>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</si>
  <si>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</si>
  <si>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</si>
  <si>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</si>
  <si>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</si>
  <si>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</si>
  <si>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</si>
  <si>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</si>
  <si>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</si>
  <si>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</si>
  <si>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</si>
  <si>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</si>
  <si>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</si>
  <si>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</si>
  <si>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</si>
  <si>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</si>
  <si>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</si>
  <si>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</si>
  <si>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</si>
  <si>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</si>
  <si>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</si>
  <si>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</si>
  <si>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</si>
  <si>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</si>
  <si>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</si>
  <si>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</si>
  <si>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</si>
  <si>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</si>
  <si>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</si>
  <si>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</si>
  <si>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</si>
  <si>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</si>
  <si>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</si>
  <si>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</si>
  <si>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</si>
  <si>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</si>
  <si>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</si>
  <si>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</si>
  <si>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</si>
  <si>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</si>
  <si>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</si>
  <si>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</si>
  <si>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CHB/PT</t>
  </si>
  <si>
    <t>LAVAND</t>
  </si>
  <si>
    <t>PASSO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</si>
  <si>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</si>
  <si>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</si>
  <si>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</si>
  <si>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</si>
  <si>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</si>
  <si>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</si>
  <si>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</si>
  <si>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</si>
  <si>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</si>
  <si>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</si>
  <si>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</si>
  <si>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</si>
  <si>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</si>
  <si>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</si>
  <si>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</si>
  <si>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</si>
  <si>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</si>
  <si>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</si>
  <si>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</si>
  <si>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</si>
  <si>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</si>
  <si>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EROS 2 INFANTIL</t>
  </si>
  <si>
    <t>VERSA</t>
  </si>
  <si>
    <t>BGMVML</t>
  </si>
  <si>
    <t>BRUMA</t>
  </si>
  <si>
    <t>PRETO</t>
  </si>
  <si>
    <t>SAFIRA</t>
  </si>
  <si>
    <t>RUSH</t>
  </si>
  <si>
    <t>MARTE</t>
  </si>
  <si>
    <t>PT/DRD</t>
  </si>
  <si>
    <t>C10</t>
  </si>
  <si>
    <t>SERENO</t>
  </si>
  <si>
    <t>ATMOS</t>
  </si>
  <si>
    <t>DAY</t>
  </si>
  <si>
    <t>CHUMBO</t>
  </si>
  <si>
    <t>EROS 2</t>
  </si>
  <si>
    <t>BRANCO</t>
  </si>
  <si>
    <t>ACQUA</t>
  </si>
  <si>
    <t>MRHO</t>
  </si>
  <si>
    <t>FLUTUA 2</t>
  </si>
  <si>
    <t>LUMI</t>
  </si>
  <si>
    <t>DYNAMIC / 343</t>
  </si>
  <si>
    <t>MRHDRD</t>
  </si>
  <si>
    <t>MILITR</t>
  </si>
  <si>
    <t>ALGPSC</t>
  </si>
  <si>
    <t>APOLIS</t>
  </si>
  <si>
    <t>BRSMRT</t>
  </si>
  <si>
    <t>DAY / 547</t>
  </si>
  <si>
    <t>STOAMS</t>
  </si>
  <si>
    <t>LUNAR</t>
  </si>
  <si>
    <t>ATMOS /101</t>
  </si>
  <si>
    <t>ARTPES</t>
  </si>
  <si>
    <t>STREAM INFANTIL</t>
  </si>
  <si>
    <t>PT/VMH</t>
  </si>
  <si>
    <t>CHBHIB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</si>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</sst>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Border="1" applyAlignment="1">
      <alignment horizontal="center" vertical="top" wrapText="1"/>
    </xf>
    <xf numFmtId="14" fontId="7" fillId="0" borderId="2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/>
    </xf>
    <xf numFmtId="14" fontId="7" fillId="0" borderId="3" xfId="0" applyNumberFormat="1" applyFont="1" applyBorder="1" applyAlignment="1">
      <alignment horizontal="center" vertical="top" wrapText="1"/>
    </xf>
    <xf numFmtId="14" fontId="7" fillId="0" borderId="0" xfId="0" applyNumberFormat="1" applyFont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T-MARCOS\Downloads\Encomendas_SIN_ARTIGO.xls" TargetMode="External"/><Relationship Id="rId1" Type="http://schemas.openxmlformats.org/officeDocument/2006/relationships/externalLinkPath" Target="/Users/NOT-MARCOS/Downloads/Encomendas_SIN_ARTIGO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comendas_SIN_ARTIGO"/>
      <sheetName val="Planilha2"/>
      <sheetName val="Planilha1"/>
    </sheetNames>
    <sheetDataSet>
      <sheetData sheetId="0"/>
      <sheetData sheetId="1">
        <row r="1">
          <cell r="D1" t="str">
            <v>Nr.Enc. GCI</v>
          </cell>
          <cell r="E1" t="str">
            <v>Empresa</v>
          </cell>
        </row>
        <row r="2">
          <cell r="D2">
            <v>5013559</v>
          </cell>
          <cell r="E2" t="str">
            <v>AZABA</v>
          </cell>
        </row>
        <row r="3">
          <cell r="D3">
            <v>5013428</v>
          </cell>
          <cell r="E3" t="str">
            <v>AZABA</v>
          </cell>
        </row>
        <row r="4">
          <cell r="D4">
            <v>6913394</v>
          </cell>
          <cell r="E4" t="str">
            <v>VULTS</v>
          </cell>
        </row>
        <row r="5">
          <cell r="D5">
            <v>4993104</v>
          </cell>
          <cell r="E5" t="str">
            <v>AZABA</v>
          </cell>
        </row>
        <row r="6">
          <cell r="D6">
            <v>4993151</v>
          </cell>
          <cell r="E6" t="str">
            <v>AZABA</v>
          </cell>
        </row>
        <row r="7">
          <cell r="D7">
            <v>6913394</v>
          </cell>
          <cell r="E7" t="str">
            <v>VULTS</v>
          </cell>
        </row>
        <row r="8">
          <cell r="D8">
            <v>7228507</v>
          </cell>
          <cell r="E8" t="str">
            <v>VULTS</v>
          </cell>
        </row>
        <row r="9">
          <cell r="D9">
            <v>4993151</v>
          </cell>
          <cell r="E9" t="str">
            <v>AZABA</v>
          </cell>
        </row>
        <row r="10">
          <cell r="D10">
            <v>4993104</v>
          </cell>
          <cell r="E10" t="str">
            <v>AZABA</v>
          </cell>
        </row>
        <row r="11">
          <cell r="D11">
            <v>4993151</v>
          </cell>
          <cell r="E11" t="str">
            <v>AZABA</v>
          </cell>
        </row>
        <row r="12">
          <cell r="D12">
            <v>4993104</v>
          </cell>
          <cell r="E12" t="str">
            <v>AZABA</v>
          </cell>
        </row>
        <row r="13">
          <cell r="D13">
            <v>4993151</v>
          </cell>
          <cell r="E13" t="str">
            <v>AZABA</v>
          </cell>
        </row>
        <row r="14">
          <cell r="D14">
            <v>6913394</v>
          </cell>
          <cell r="E14" t="str">
            <v>VULTS</v>
          </cell>
        </row>
        <row r="15">
          <cell r="D15">
            <v>4993104</v>
          </cell>
          <cell r="E15" t="str">
            <v>AZABA</v>
          </cell>
        </row>
        <row r="16">
          <cell r="D16">
            <v>4993151</v>
          </cell>
          <cell r="E16" t="str">
            <v>AZABA</v>
          </cell>
        </row>
        <row r="17">
          <cell r="D17">
            <v>4993104</v>
          </cell>
          <cell r="E17" t="str">
            <v>AZABA</v>
          </cell>
        </row>
        <row r="18">
          <cell r="D18">
            <v>6913394</v>
          </cell>
          <cell r="E18" t="str">
            <v>VULTS</v>
          </cell>
        </row>
        <row r="19">
          <cell r="D19">
            <v>4993104</v>
          </cell>
          <cell r="E19" t="str">
            <v>AZABA</v>
          </cell>
        </row>
        <row r="20">
          <cell r="D20">
            <v>4993151</v>
          </cell>
          <cell r="E20" t="str">
            <v>AZABA</v>
          </cell>
        </row>
        <row r="21">
          <cell r="D21">
            <v>6913394</v>
          </cell>
          <cell r="E21" t="str">
            <v>VULTS</v>
          </cell>
        </row>
        <row r="22">
          <cell r="D22">
            <v>5038292</v>
          </cell>
          <cell r="E22" t="str">
            <v>AZABA</v>
          </cell>
        </row>
        <row r="23">
          <cell r="D23">
            <v>5215318</v>
          </cell>
          <cell r="E23" t="str">
            <v>AZABA</v>
          </cell>
        </row>
        <row r="24">
          <cell r="D24">
            <v>5215319</v>
          </cell>
          <cell r="E24" t="str">
            <v>AZABA</v>
          </cell>
        </row>
        <row r="25">
          <cell r="D25">
            <v>5215309</v>
          </cell>
          <cell r="E25" t="str">
            <v>AZABA</v>
          </cell>
        </row>
        <row r="26">
          <cell r="D26">
            <v>5274759</v>
          </cell>
          <cell r="E26" t="str">
            <v>AZABA</v>
          </cell>
        </row>
        <row r="27">
          <cell r="D27">
            <v>7426392</v>
          </cell>
          <cell r="E27" t="str">
            <v>VULTS</v>
          </cell>
        </row>
        <row r="28">
          <cell r="D28">
            <v>7426388</v>
          </cell>
          <cell r="E28" t="str">
            <v>VULTS</v>
          </cell>
        </row>
        <row r="29">
          <cell r="D29">
            <v>7268503</v>
          </cell>
          <cell r="E29" t="str">
            <v>VULTS</v>
          </cell>
        </row>
        <row r="30">
          <cell r="D30">
            <v>7426399</v>
          </cell>
          <cell r="E30" t="str">
            <v>VULTS</v>
          </cell>
        </row>
        <row r="31">
          <cell r="D31">
            <v>7426391</v>
          </cell>
          <cell r="E31" t="str">
            <v>VULTS</v>
          </cell>
        </row>
        <row r="32">
          <cell r="D32">
            <v>5199180</v>
          </cell>
          <cell r="E32" t="str">
            <v>AZABA</v>
          </cell>
        </row>
        <row r="33">
          <cell r="D33">
            <v>5274744</v>
          </cell>
          <cell r="E33" t="str">
            <v>AZABA</v>
          </cell>
        </row>
        <row r="34">
          <cell r="D34">
            <v>5269321</v>
          </cell>
          <cell r="E34" t="str">
            <v>AZABA</v>
          </cell>
        </row>
        <row r="35">
          <cell r="D35">
            <v>5269320</v>
          </cell>
          <cell r="E35" t="str">
            <v>AZABA</v>
          </cell>
        </row>
        <row r="36">
          <cell r="D36">
            <v>5269322</v>
          </cell>
          <cell r="E36" t="str">
            <v>AZABA</v>
          </cell>
        </row>
        <row r="37">
          <cell r="D37">
            <v>5274753</v>
          </cell>
          <cell r="E37" t="str">
            <v>AZABA</v>
          </cell>
        </row>
        <row r="38">
          <cell r="D38">
            <v>5259457</v>
          </cell>
          <cell r="E38" t="str">
            <v>AZABA</v>
          </cell>
        </row>
        <row r="39">
          <cell r="D39">
            <v>5274754</v>
          </cell>
          <cell r="E39" t="str">
            <v>AZABA</v>
          </cell>
        </row>
        <row r="40">
          <cell r="D40">
            <v>5274747</v>
          </cell>
          <cell r="E40" t="str">
            <v>AZABA</v>
          </cell>
        </row>
        <row r="41">
          <cell r="D41">
            <v>7372755</v>
          </cell>
          <cell r="E41" t="str">
            <v>VULTS</v>
          </cell>
        </row>
        <row r="42">
          <cell r="D42">
            <v>7372771</v>
          </cell>
          <cell r="E42" t="str">
            <v>VULTS</v>
          </cell>
        </row>
        <row r="43">
          <cell r="D43">
            <v>7426389</v>
          </cell>
          <cell r="E43" t="str">
            <v>VULTS</v>
          </cell>
        </row>
        <row r="44">
          <cell r="D44">
            <v>5274741</v>
          </cell>
          <cell r="E44" t="str">
            <v>AZABA</v>
          </cell>
        </row>
        <row r="45">
          <cell r="D45">
            <v>5274761</v>
          </cell>
          <cell r="E45" t="str">
            <v>AZABA</v>
          </cell>
        </row>
        <row r="46">
          <cell r="D46">
            <v>7426398</v>
          </cell>
          <cell r="E46" t="str">
            <v>VULTS</v>
          </cell>
        </row>
        <row r="47">
          <cell r="D47">
            <v>4993370</v>
          </cell>
          <cell r="E47" t="str">
            <v>AZABA</v>
          </cell>
        </row>
        <row r="48">
          <cell r="D48">
            <v>4993371</v>
          </cell>
          <cell r="E48" t="str">
            <v>AZABA</v>
          </cell>
        </row>
        <row r="49">
          <cell r="D49">
            <v>4993255</v>
          </cell>
          <cell r="E49" t="str">
            <v>AZABA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44"/>
  <sheetViews>
    <sheetView tabSelected="1" zoomScaleNormal="100" workbookViewId="0">
      <pane ySplit="1" topLeftCell="A2" activePane="bottomLeft" state="frozen"/>
      <selection pane="bottomLeft" activeCell="D2" sqref="D2:D38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6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71</v>
      </c>
      <c r="B1" s="7" t="s">
        <v>37</v>
      </c>
      <c r="C1" s="7" t="s">
        <v>38</v>
      </c>
      <c r="D1" s="7" t="s">
        <v>73</v>
      </c>
      <c r="E1" s="7" t="s">
        <v>62</v>
      </c>
      <c r="F1" s="7" t="s">
        <v>61</v>
      </c>
      <c r="G1" s="7" t="s">
        <v>39</v>
      </c>
      <c r="H1" s="7" t="s">
        <v>40</v>
      </c>
      <c r="I1" s="7" t="s">
        <v>72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54</v>
      </c>
      <c r="AC1" s="9" t="s">
        <v>55</v>
      </c>
      <c r="AD1" s="9" t="s">
        <v>56</v>
      </c>
      <c r="AE1" s="9" t="s">
        <v>57</v>
      </c>
      <c r="AF1" s="9" t="s">
        <v>58</v>
      </c>
      <c r="AG1" s="9" t="s">
        <v>59</v>
      </c>
      <c r="AH1" s="9" t="s">
        <v>60</v>
      </c>
      <c r="AI1" s="9" t="s">
        <v>63</v>
      </c>
      <c r="AJ1" s="9" t="s">
        <v>64</v>
      </c>
      <c r="AK1" s="9" t="s">
        <v>65</v>
      </c>
      <c r="AL1" s="9" t="s">
        <v>66</v>
      </c>
      <c r="AM1" s="9" t="s">
        <v>67</v>
      </c>
      <c r="AN1" s="9" t="s">
        <v>68</v>
      </c>
      <c r="AO1" s="9" t="s">
        <v>69</v>
      </c>
      <c r="AP1" s="9" t="s">
        <v>70</v>
      </c>
    </row>
    <row r="2" spans="1:42" x14ac:dyDescent="0.25">
      <c r="A2" s="5">
        <v>57</v>
      </c>
      <c r="B2" s="5">
        <v>13263501</v>
      </c>
      <c r="C2" s="5">
        <v>5274741</v>
      </c>
      <c r="D2" s="5" t="str">
        <f>VLOOKUP(C2,[1]Planilha2!$D$1:$E$65536,2,0)</f>
        <v>AZABA</v>
      </c>
      <c r="E2" s="5">
        <v>43752263</v>
      </c>
      <c r="F2" s="5" t="s">
        <v>76</v>
      </c>
      <c r="G2" s="2" t="s">
        <v>77</v>
      </c>
      <c r="H2" s="6">
        <v>46147</v>
      </c>
      <c r="I2" s="13"/>
      <c r="J2" s="3">
        <v>24</v>
      </c>
      <c r="K2" s="4"/>
      <c r="L2" s="4"/>
      <c r="M2" s="4"/>
      <c r="N2" s="4"/>
      <c r="O2" s="4"/>
      <c r="P2" s="4"/>
      <c r="Q2" s="4"/>
      <c r="R2" s="4"/>
      <c r="S2" s="4"/>
      <c r="T2" s="4">
        <v>1</v>
      </c>
      <c r="U2" s="4">
        <v>1</v>
      </c>
      <c r="V2" s="4">
        <v>2</v>
      </c>
      <c r="W2" s="4">
        <v>2</v>
      </c>
      <c r="X2" s="4">
        <v>2</v>
      </c>
      <c r="Y2" s="4">
        <v>2</v>
      </c>
      <c r="Z2" s="4">
        <v>1</v>
      </c>
      <c r="AA2" s="4">
        <v>1</v>
      </c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12790961</v>
      </c>
      <c r="C3" s="5">
        <v>5013428</v>
      </c>
      <c r="D3" s="5" t="str">
        <f>VLOOKUP(C3,[1]Planilha2!$D$1:$E$65536,2,0)</f>
        <v>AZABA</v>
      </c>
      <c r="E3" s="5">
        <v>43632407</v>
      </c>
      <c r="F3" s="5" t="s">
        <v>78</v>
      </c>
      <c r="G3" s="2" t="s">
        <v>79</v>
      </c>
      <c r="H3" s="6">
        <v>46172</v>
      </c>
      <c r="I3" s="13"/>
      <c r="J3" s="3">
        <v>24</v>
      </c>
      <c r="K3" s="4"/>
      <c r="L3" s="4"/>
      <c r="M3" s="4"/>
      <c r="N3" s="4"/>
      <c r="O3" s="4"/>
      <c r="P3" s="4"/>
      <c r="Q3" s="4">
        <v>1</v>
      </c>
      <c r="R3" s="4">
        <v>2</v>
      </c>
      <c r="S3" s="4">
        <v>2</v>
      </c>
      <c r="T3" s="4">
        <v>3</v>
      </c>
      <c r="U3" s="4">
        <v>2</v>
      </c>
      <c r="V3" s="4">
        <v>1</v>
      </c>
      <c r="W3" s="4">
        <v>1</v>
      </c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316</v>
      </c>
      <c r="B4" s="5">
        <v>12791194</v>
      </c>
      <c r="C4" s="5">
        <v>5013559</v>
      </c>
      <c r="D4" s="5" t="str">
        <f>VLOOKUP(C4,[1]Planilha2!$D$1:$E$65536,2,0)</f>
        <v>AZABA</v>
      </c>
      <c r="E4" s="5">
        <v>43608374</v>
      </c>
      <c r="F4" s="5" t="s">
        <v>80</v>
      </c>
      <c r="G4" s="2" t="s">
        <v>50</v>
      </c>
      <c r="H4" s="6">
        <v>46150</v>
      </c>
      <c r="I4" s="13"/>
      <c r="J4" s="3">
        <v>240</v>
      </c>
      <c r="K4" s="4"/>
      <c r="L4" s="4"/>
      <c r="M4" s="4"/>
      <c r="N4" s="4"/>
      <c r="O4" s="4"/>
      <c r="P4" s="4"/>
      <c r="Q4" s="4">
        <v>1</v>
      </c>
      <c r="R4" s="4">
        <v>2</v>
      </c>
      <c r="S4" s="4">
        <v>3</v>
      </c>
      <c r="T4" s="4">
        <v>3</v>
      </c>
      <c r="U4" s="4">
        <v>2</v>
      </c>
      <c r="V4" s="4">
        <v>1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322</v>
      </c>
      <c r="B5" s="5">
        <v>13224179</v>
      </c>
      <c r="C5" s="5">
        <v>7372755</v>
      </c>
      <c r="D5" s="5" t="str">
        <f>VLOOKUP(C5,[1]Planilha2!$D$1:$E$65536,2,0)</f>
        <v>VULTS</v>
      </c>
      <c r="E5" s="5">
        <v>43667419</v>
      </c>
      <c r="F5" s="5" t="s">
        <v>81</v>
      </c>
      <c r="G5" s="2" t="s">
        <v>79</v>
      </c>
      <c r="H5" s="6">
        <v>46162</v>
      </c>
      <c r="I5" s="13"/>
      <c r="J5" s="3">
        <v>24</v>
      </c>
      <c r="K5" s="4"/>
      <c r="L5" s="4"/>
      <c r="M5" s="4"/>
      <c r="N5" s="4"/>
      <c r="O5" s="4"/>
      <c r="P5" s="4"/>
      <c r="Q5" s="4" t="s">
        <v>109</v>
      </c>
      <c r="R5" s="4" t="s">
        <v>109</v>
      </c>
      <c r="S5" s="4" t="s">
        <v>109</v>
      </c>
      <c r="T5" s="4" t="s">
        <v>109</v>
      </c>
      <c r="U5" s="4" t="s">
        <v>109</v>
      </c>
      <c r="V5" s="4">
        <v>1</v>
      </c>
      <c r="W5" s="4">
        <v>2</v>
      </c>
      <c r="X5" s="4">
        <v>3</v>
      </c>
      <c r="Y5" s="4">
        <v>3</v>
      </c>
      <c r="Z5" s="4">
        <v>2</v>
      </c>
      <c r="AA5" s="4">
        <v>1</v>
      </c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323</v>
      </c>
      <c r="B6" s="5">
        <v>13224181</v>
      </c>
      <c r="C6" s="5">
        <v>7372771</v>
      </c>
      <c r="D6" s="5" t="str">
        <f>VLOOKUP(C6,[1]Planilha2!$D$1:$E$65536,2,0)</f>
        <v>VULTS</v>
      </c>
      <c r="E6" s="5">
        <v>43667419</v>
      </c>
      <c r="F6" s="5" t="s">
        <v>81</v>
      </c>
      <c r="G6" s="2" t="s">
        <v>79</v>
      </c>
      <c r="H6" s="6">
        <v>46193</v>
      </c>
      <c r="I6" s="13"/>
      <c r="J6" s="3">
        <v>48</v>
      </c>
      <c r="K6" s="4"/>
      <c r="L6" s="4"/>
      <c r="M6" s="4"/>
      <c r="N6" s="4"/>
      <c r="O6" s="4"/>
      <c r="P6" s="4"/>
      <c r="Q6" s="4" t="s">
        <v>109</v>
      </c>
      <c r="R6" s="4">
        <v>2</v>
      </c>
      <c r="S6" s="4">
        <v>3</v>
      </c>
      <c r="T6" s="4">
        <v>4</v>
      </c>
      <c r="U6" s="4">
        <v>3</v>
      </c>
      <c r="V6" s="4" t="s">
        <v>109</v>
      </c>
      <c r="W6" s="4" t="s">
        <v>109</v>
      </c>
      <c r="X6" s="4" t="s">
        <v>109</v>
      </c>
      <c r="Y6" s="4" t="s">
        <v>109</v>
      </c>
      <c r="Z6" s="4" t="s">
        <v>109</v>
      </c>
      <c r="AA6" s="4" t="s">
        <v>109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5">
        <v>324</v>
      </c>
      <c r="B7" s="5">
        <v>13224114</v>
      </c>
      <c r="C7" s="5">
        <v>5259457</v>
      </c>
      <c r="D7" s="5" t="str">
        <f>VLOOKUP(C7,[1]Planilha2!$D$1:$E$65536,2,0)</f>
        <v>AZABA</v>
      </c>
      <c r="E7" s="5">
        <v>43608374</v>
      </c>
      <c r="F7" s="5" t="s">
        <v>80</v>
      </c>
      <c r="G7" s="2" t="s">
        <v>50</v>
      </c>
      <c r="H7" s="6">
        <v>46193</v>
      </c>
      <c r="I7" s="13"/>
      <c r="J7" s="3">
        <v>72</v>
      </c>
      <c r="K7" s="4"/>
      <c r="L7" s="4"/>
      <c r="M7" s="4"/>
      <c r="N7" s="4"/>
      <c r="O7" s="4"/>
      <c r="P7" s="4"/>
      <c r="Q7" s="4" t="s">
        <v>109</v>
      </c>
      <c r="R7" s="4">
        <v>1</v>
      </c>
      <c r="S7" s="4">
        <v>2</v>
      </c>
      <c r="T7" s="4">
        <v>3</v>
      </c>
      <c r="U7" s="4">
        <v>3</v>
      </c>
      <c r="V7" s="4">
        <v>2</v>
      </c>
      <c r="W7" s="4">
        <v>1</v>
      </c>
      <c r="X7" s="4" t="s">
        <v>109</v>
      </c>
      <c r="Y7" s="4" t="s">
        <v>109</v>
      </c>
      <c r="Z7" s="4" t="s">
        <v>109</v>
      </c>
      <c r="AA7" s="4" t="s">
        <v>109</v>
      </c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8" spans="1:42" x14ac:dyDescent="0.25">
      <c r="A8" s="5">
        <v>325</v>
      </c>
      <c r="B8" s="5">
        <v>13109256</v>
      </c>
      <c r="C8" s="5">
        <v>5199180</v>
      </c>
      <c r="D8" s="5" t="str">
        <f>VLOOKUP(C8,[1]Planilha2!$D$1:$E$65536,2,0)</f>
        <v>AZABA</v>
      </c>
      <c r="E8" s="5">
        <v>43395156</v>
      </c>
      <c r="F8" s="5" t="s">
        <v>82</v>
      </c>
      <c r="G8" s="2" t="s">
        <v>83</v>
      </c>
      <c r="H8" s="6">
        <v>46165</v>
      </c>
      <c r="I8" s="13"/>
      <c r="J8" s="3">
        <v>192</v>
      </c>
      <c r="K8" s="4"/>
      <c r="L8" s="4"/>
      <c r="M8" s="4"/>
      <c r="N8" s="4"/>
      <c r="O8" s="4"/>
      <c r="P8" s="4"/>
      <c r="Q8" s="4"/>
      <c r="R8" s="4"/>
      <c r="S8" s="4"/>
      <c r="T8" s="4"/>
      <c r="U8" s="4">
        <v>1</v>
      </c>
      <c r="V8" s="4">
        <v>1</v>
      </c>
      <c r="W8" s="4">
        <v>2</v>
      </c>
      <c r="X8" s="4">
        <v>3</v>
      </c>
      <c r="Y8" s="4">
        <v>3</v>
      </c>
      <c r="Z8" s="4">
        <v>1</v>
      </c>
      <c r="AA8" s="4">
        <v>1</v>
      </c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</row>
    <row r="9" spans="1:42" x14ac:dyDescent="0.25">
      <c r="A9" s="14" t="s">
        <v>84</v>
      </c>
      <c r="B9" s="14">
        <v>12837174</v>
      </c>
      <c r="C9" s="5">
        <v>5038292</v>
      </c>
      <c r="D9" s="5" t="str">
        <f>VLOOKUP(C9,[1]Planilha2!$D$1:$E$65536,2,0)</f>
        <v>AZABA</v>
      </c>
      <c r="E9" s="14">
        <v>54104269</v>
      </c>
      <c r="F9" s="14" t="s">
        <v>85</v>
      </c>
      <c r="G9" s="14" t="s">
        <v>79</v>
      </c>
      <c r="H9" s="6">
        <v>46158</v>
      </c>
      <c r="I9" s="13"/>
      <c r="J9" s="3">
        <v>48</v>
      </c>
      <c r="K9" s="4"/>
      <c r="L9" s="4"/>
      <c r="M9" s="4"/>
      <c r="N9" s="4"/>
      <c r="O9" s="4"/>
      <c r="P9" s="4"/>
      <c r="Q9" s="4"/>
      <c r="R9" s="4"/>
      <c r="S9" s="4"/>
      <c r="T9" s="4">
        <v>2</v>
      </c>
      <c r="U9" s="4"/>
      <c r="V9" s="4">
        <v>5</v>
      </c>
      <c r="W9" s="4"/>
      <c r="X9" s="4">
        <v>4</v>
      </c>
      <c r="Y9" s="4"/>
      <c r="Z9" s="4">
        <v>1</v>
      </c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</row>
    <row r="10" spans="1:42" x14ac:dyDescent="0.25">
      <c r="A10" s="14">
        <v>334</v>
      </c>
      <c r="B10" s="14">
        <v>12757541</v>
      </c>
      <c r="C10" s="5">
        <v>6913394</v>
      </c>
      <c r="D10" s="5" t="str">
        <f>VLOOKUP(C10,[1]Planilha2!$D$1:$E$65536,2,0)</f>
        <v>VULTS</v>
      </c>
      <c r="E10" s="14">
        <v>43286101</v>
      </c>
      <c r="F10" s="14" t="s">
        <v>86</v>
      </c>
      <c r="G10" s="14" t="s">
        <v>79</v>
      </c>
      <c r="H10" s="6">
        <v>46147</v>
      </c>
      <c r="I10" s="13"/>
      <c r="J10" s="3">
        <v>120</v>
      </c>
      <c r="K10" s="4"/>
      <c r="L10" s="4"/>
      <c r="M10" s="4"/>
      <c r="N10" s="4"/>
      <c r="O10" s="4"/>
      <c r="P10" s="4"/>
      <c r="Q10" s="4">
        <v>1</v>
      </c>
      <c r="R10" s="4">
        <v>2</v>
      </c>
      <c r="S10" s="4">
        <v>2</v>
      </c>
      <c r="T10" s="4">
        <v>3</v>
      </c>
      <c r="U10" s="4">
        <v>2</v>
      </c>
      <c r="V10" s="4">
        <v>1</v>
      </c>
      <c r="W10" s="4">
        <v>1</v>
      </c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</row>
    <row r="11" spans="1:42" x14ac:dyDescent="0.25">
      <c r="A11" s="14">
        <v>335</v>
      </c>
      <c r="B11" s="14">
        <v>12757541</v>
      </c>
      <c r="C11" s="5">
        <v>6913394</v>
      </c>
      <c r="D11" s="5" t="str">
        <f>VLOOKUP(C11,[1]Planilha2!$D$1:$E$65536,2,0)</f>
        <v>VULTS</v>
      </c>
      <c r="E11" s="14">
        <v>43286101</v>
      </c>
      <c r="F11" s="14" t="s">
        <v>86</v>
      </c>
      <c r="G11" s="14" t="s">
        <v>79</v>
      </c>
      <c r="H11" s="6">
        <v>46147</v>
      </c>
      <c r="I11" s="13"/>
      <c r="J11" s="3">
        <v>108</v>
      </c>
      <c r="K11" s="4"/>
      <c r="L11" s="4"/>
      <c r="M11" s="4"/>
      <c r="N11" s="4"/>
      <c r="O11" s="4"/>
      <c r="P11" s="4"/>
      <c r="Q11" s="4"/>
      <c r="R11" s="4">
        <v>1</v>
      </c>
      <c r="S11" s="4">
        <v>3</v>
      </c>
      <c r="T11" s="4">
        <v>3</v>
      </c>
      <c r="U11" s="4">
        <v>2</v>
      </c>
      <c r="V11" s="4">
        <v>1</v>
      </c>
      <c r="W11" s="4">
        <v>1</v>
      </c>
      <c r="X11" s="4">
        <v>1</v>
      </c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</row>
    <row r="12" spans="1:42" x14ac:dyDescent="0.25">
      <c r="A12" s="14">
        <v>336</v>
      </c>
      <c r="B12" s="14">
        <v>12757541</v>
      </c>
      <c r="C12" s="5">
        <v>6913394</v>
      </c>
      <c r="D12" s="5" t="str">
        <f>VLOOKUP(C12,[1]Planilha2!$D$1:$E$65536,2,0)</f>
        <v>VULTS</v>
      </c>
      <c r="E12" s="14">
        <v>43927547</v>
      </c>
      <c r="F12" s="14" t="s">
        <v>87</v>
      </c>
      <c r="G12" s="14" t="s">
        <v>88</v>
      </c>
      <c r="H12" s="6">
        <v>46147</v>
      </c>
      <c r="I12" s="13"/>
      <c r="J12" s="3">
        <v>36</v>
      </c>
      <c r="K12" s="4"/>
      <c r="L12" s="4"/>
      <c r="M12" s="4"/>
      <c r="N12" s="4"/>
      <c r="O12" s="4"/>
      <c r="P12" s="4"/>
      <c r="Q12" s="4">
        <v>1</v>
      </c>
      <c r="R12" s="4">
        <v>2</v>
      </c>
      <c r="S12" s="4">
        <v>2</v>
      </c>
      <c r="T12" s="4">
        <v>3</v>
      </c>
      <c r="U12" s="4">
        <v>2</v>
      </c>
      <c r="V12" s="4">
        <v>1</v>
      </c>
      <c r="W12" s="4">
        <v>1</v>
      </c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</row>
    <row r="13" spans="1:42" x14ac:dyDescent="0.25">
      <c r="A13" s="14">
        <v>339</v>
      </c>
      <c r="B13" s="14">
        <v>12757770</v>
      </c>
      <c r="C13" s="5">
        <v>4993151</v>
      </c>
      <c r="D13" s="5" t="str">
        <f>VLOOKUP(C13,[1]Planilha2!$D$1:$E$65536,2,0)</f>
        <v>AZABA</v>
      </c>
      <c r="E13" s="14">
        <v>43409454</v>
      </c>
      <c r="F13" s="14" t="s">
        <v>89</v>
      </c>
      <c r="G13" s="14" t="s">
        <v>90</v>
      </c>
      <c r="H13" s="6">
        <v>46147</v>
      </c>
      <c r="I13" s="13"/>
      <c r="J13" s="3">
        <v>12</v>
      </c>
      <c r="K13" s="4"/>
      <c r="L13" s="4"/>
      <c r="M13" s="4"/>
      <c r="N13" s="4"/>
      <c r="O13" s="4"/>
      <c r="P13" s="4"/>
      <c r="Q13" s="4"/>
      <c r="R13" s="4"/>
      <c r="S13" s="4"/>
      <c r="T13" s="4">
        <v>1</v>
      </c>
      <c r="U13" s="4">
        <v>1</v>
      </c>
      <c r="V13" s="4">
        <v>3</v>
      </c>
      <c r="W13" s="4">
        <v>3</v>
      </c>
      <c r="X13" s="4">
        <v>2</v>
      </c>
      <c r="Y13" s="4">
        <v>2</v>
      </c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spans="1:42" x14ac:dyDescent="0.25">
      <c r="A14" s="14">
        <v>340</v>
      </c>
      <c r="B14" s="14">
        <v>12757770</v>
      </c>
      <c r="C14" s="5">
        <v>4993151</v>
      </c>
      <c r="D14" s="5" t="str">
        <f>VLOOKUP(C14,[1]Planilha2!$D$1:$E$65536,2,0)</f>
        <v>AZABA</v>
      </c>
      <c r="E14" s="14">
        <v>43752263</v>
      </c>
      <c r="F14" s="14" t="s">
        <v>76</v>
      </c>
      <c r="G14" s="14" t="s">
        <v>90</v>
      </c>
      <c r="H14" s="6">
        <v>46147</v>
      </c>
      <c r="I14" s="13"/>
      <c r="J14" s="3">
        <v>48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>
        <v>1</v>
      </c>
      <c r="V14" s="4">
        <v>2</v>
      </c>
      <c r="W14" s="4">
        <v>3</v>
      </c>
      <c r="X14" s="4">
        <v>2</v>
      </c>
      <c r="Y14" s="4">
        <v>1</v>
      </c>
      <c r="Z14" s="4">
        <v>1</v>
      </c>
      <c r="AA14" s="4">
        <v>1</v>
      </c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spans="1:42" x14ac:dyDescent="0.25">
      <c r="A15" s="14">
        <v>341</v>
      </c>
      <c r="B15" s="14">
        <v>13140161</v>
      </c>
      <c r="C15" s="5">
        <v>7228507</v>
      </c>
      <c r="D15" s="5" t="str">
        <f>VLOOKUP(C15,[1]Planilha2!$D$1:$E$65536,2,0)</f>
        <v>VULTS</v>
      </c>
      <c r="E15" s="14">
        <v>43299316</v>
      </c>
      <c r="F15" s="14" t="s">
        <v>91</v>
      </c>
      <c r="G15" s="14" t="s">
        <v>92</v>
      </c>
      <c r="H15" s="6">
        <v>46147</v>
      </c>
      <c r="I15" s="13"/>
      <c r="J15" s="3">
        <v>108</v>
      </c>
      <c r="K15" s="4"/>
      <c r="L15" s="4"/>
      <c r="M15" s="4"/>
      <c r="N15" s="4"/>
      <c r="O15" s="4"/>
      <c r="P15" s="4"/>
      <c r="Q15" s="4">
        <v>1</v>
      </c>
      <c r="R15" s="4">
        <v>2</v>
      </c>
      <c r="S15" s="4">
        <v>3</v>
      </c>
      <c r="T15" s="4">
        <v>3</v>
      </c>
      <c r="U15" s="4">
        <v>2</v>
      </c>
      <c r="V15" s="4">
        <v>1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spans="1:42" x14ac:dyDescent="0.25">
      <c r="A16" s="14">
        <v>388</v>
      </c>
      <c r="B16" s="14">
        <v>12757545</v>
      </c>
      <c r="C16" s="5">
        <v>4993104</v>
      </c>
      <c r="D16" s="5" t="str">
        <f>VLOOKUP(C16,[1]Planilha2!$D$1:$E$65536,2,0)</f>
        <v>AZABA</v>
      </c>
      <c r="E16" s="14">
        <v>43389459</v>
      </c>
      <c r="F16" s="14" t="s">
        <v>93</v>
      </c>
      <c r="G16" s="14" t="s">
        <v>50</v>
      </c>
      <c r="H16" s="6">
        <v>46147</v>
      </c>
      <c r="I16" s="13"/>
      <c r="J16" s="3">
        <v>48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spans="1:42" x14ac:dyDescent="0.25">
      <c r="A17" s="14">
        <v>390</v>
      </c>
      <c r="B17" s="14">
        <v>12757893</v>
      </c>
      <c r="C17" s="5">
        <v>4993255</v>
      </c>
      <c r="D17" s="5" t="str">
        <f>VLOOKUP(C17,[1]Planilha2!$D$1:$E$65536,2,0)</f>
        <v>AZABA</v>
      </c>
      <c r="E17" s="14">
        <v>43632407</v>
      </c>
      <c r="F17" s="14" t="s">
        <v>78</v>
      </c>
      <c r="G17" s="14" t="s">
        <v>52</v>
      </c>
      <c r="H17" s="6">
        <v>46172</v>
      </c>
      <c r="I17" s="13"/>
      <c r="J17" s="3">
        <v>48</v>
      </c>
      <c r="K17" s="4"/>
      <c r="L17" s="4"/>
      <c r="M17" s="4"/>
      <c r="N17" s="4"/>
      <c r="O17" s="4"/>
      <c r="P17" s="4"/>
      <c r="Q17" s="4"/>
      <c r="R17" s="4">
        <v>1</v>
      </c>
      <c r="S17" s="4">
        <v>2</v>
      </c>
      <c r="T17" s="4">
        <v>4</v>
      </c>
      <c r="U17" s="4">
        <v>3</v>
      </c>
      <c r="V17" s="4">
        <v>2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spans="1:42" x14ac:dyDescent="0.25">
      <c r="A18" s="14">
        <v>409</v>
      </c>
      <c r="B18" s="14">
        <v>12758052</v>
      </c>
      <c r="C18" s="5">
        <v>4993370</v>
      </c>
      <c r="D18" s="5" t="str">
        <f>VLOOKUP(C18,[1]Planilha2!$D$1:$E$65536,2,0)</f>
        <v>AZABA</v>
      </c>
      <c r="E18" s="14">
        <v>43393460</v>
      </c>
      <c r="F18" s="14" t="s">
        <v>94</v>
      </c>
      <c r="G18" s="14" t="s">
        <v>79</v>
      </c>
      <c r="H18" s="6">
        <v>46172</v>
      </c>
      <c r="I18" s="13"/>
      <c r="J18" s="3">
        <v>12</v>
      </c>
      <c r="K18" s="4"/>
      <c r="L18" s="4"/>
      <c r="M18" s="4"/>
      <c r="N18" s="4"/>
      <c r="O18" s="4"/>
      <c r="P18" s="4"/>
      <c r="Q18" s="4"/>
      <c r="R18" s="4">
        <v>1</v>
      </c>
      <c r="S18" s="4">
        <v>2</v>
      </c>
      <c r="T18" s="4">
        <v>4</v>
      </c>
      <c r="U18" s="4">
        <v>3</v>
      </c>
      <c r="V18" s="4">
        <v>2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spans="1:42" x14ac:dyDescent="0.25">
      <c r="A19" s="14">
        <v>412</v>
      </c>
      <c r="B19" s="14">
        <v>12758063</v>
      </c>
      <c r="C19" s="5">
        <v>4993371</v>
      </c>
      <c r="D19" s="5" t="str">
        <f>VLOOKUP(C19,[1]Planilha2!$D$1:$E$65536,2,0)</f>
        <v>AZABA</v>
      </c>
      <c r="E19" s="14">
        <v>43393460</v>
      </c>
      <c r="F19" s="14" t="s">
        <v>94</v>
      </c>
      <c r="G19" s="14" t="s">
        <v>79</v>
      </c>
      <c r="H19" s="6">
        <v>46172</v>
      </c>
      <c r="I19" s="13"/>
      <c r="J19" s="3">
        <v>12</v>
      </c>
      <c r="K19" s="4"/>
      <c r="L19" s="4"/>
      <c r="M19" s="4"/>
      <c r="N19" s="4"/>
      <c r="O19" s="4"/>
      <c r="P19" s="4"/>
      <c r="Q19" s="4"/>
      <c r="R19" s="4">
        <v>1</v>
      </c>
      <c r="S19" s="4">
        <v>2</v>
      </c>
      <c r="T19" s="4">
        <v>4</v>
      </c>
      <c r="U19" s="4">
        <v>3</v>
      </c>
      <c r="V19" s="4">
        <v>2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</row>
    <row r="20" spans="1:42" x14ac:dyDescent="0.25">
      <c r="A20" s="14">
        <v>424</v>
      </c>
      <c r="B20" s="14">
        <v>13263562</v>
      </c>
      <c r="C20" s="5">
        <v>7426388</v>
      </c>
      <c r="D20" s="5" t="str">
        <f>VLOOKUP(C20,[1]Planilha2!$D$1:$E$65536,2,0)</f>
        <v>VULTS</v>
      </c>
      <c r="E20" s="14">
        <v>43298343</v>
      </c>
      <c r="F20" s="14" t="s">
        <v>95</v>
      </c>
      <c r="G20" s="14" t="s">
        <v>96</v>
      </c>
      <c r="H20" s="6">
        <v>46147</v>
      </c>
      <c r="I20" s="13"/>
      <c r="J20" s="3">
        <v>180</v>
      </c>
      <c r="K20" s="4"/>
      <c r="L20" s="4"/>
      <c r="M20" s="4"/>
      <c r="N20" s="4"/>
      <c r="O20" s="4"/>
      <c r="P20" s="4" t="s">
        <v>109</v>
      </c>
      <c r="Q20" s="4" t="s">
        <v>109</v>
      </c>
      <c r="R20" s="4" t="s">
        <v>109</v>
      </c>
      <c r="S20" s="4" t="s">
        <v>109</v>
      </c>
      <c r="T20" s="4" t="s">
        <v>109</v>
      </c>
      <c r="U20" s="4">
        <v>1</v>
      </c>
      <c r="V20" s="4">
        <v>2</v>
      </c>
      <c r="W20" s="4">
        <v>3</v>
      </c>
      <c r="X20" s="4">
        <v>3</v>
      </c>
      <c r="Y20" s="4">
        <v>2</v>
      </c>
      <c r="Z20" s="4">
        <v>1</v>
      </c>
      <c r="AA20" s="4" t="s">
        <v>109</v>
      </c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</row>
    <row r="21" spans="1:42" x14ac:dyDescent="0.25">
      <c r="A21" s="14">
        <v>426</v>
      </c>
      <c r="B21" s="14">
        <v>13263499</v>
      </c>
      <c r="C21" s="5">
        <v>5274744</v>
      </c>
      <c r="D21" s="5" t="str">
        <f>VLOOKUP(C21,[1]Planilha2!$D$1:$E$65536,2,0)</f>
        <v>AZABA</v>
      </c>
      <c r="E21" s="14">
        <v>43395156</v>
      </c>
      <c r="F21" s="14" t="s">
        <v>82</v>
      </c>
      <c r="G21" s="14" t="s">
        <v>97</v>
      </c>
      <c r="H21" s="6">
        <v>46147</v>
      </c>
      <c r="I21" s="13"/>
      <c r="J21" s="3">
        <v>108</v>
      </c>
      <c r="K21" s="4"/>
      <c r="L21" s="4"/>
      <c r="M21" s="4"/>
      <c r="N21" s="4"/>
      <c r="O21" s="4"/>
      <c r="P21" s="4" t="s">
        <v>109</v>
      </c>
      <c r="Q21" s="4" t="s">
        <v>109</v>
      </c>
      <c r="R21" s="4" t="s">
        <v>109</v>
      </c>
      <c r="S21" s="4" t="s">
        <v>109</v>
      </c>
      <c r="T21" s="4" t="s">
        <v>109</v>
      </c>
      <c r="U21" s="4">
        <v>1</v>
      </c>
      <c r="V21" s="4">
        <v>2</v>
      </c>
      <c r="W21" s="4">
        <v>3</v>
      </c>
      <c r="X21" s="4">
        <v>3</v>
      </c>
      <c r="Y21" s="4">
        <v>2</v>
      </c>
      <c r="Z21" s="4">
        <v>1</v>
      </c>
      <c r="AA21" s="4" t="s">
        <v>109</v>
      </c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spans="1:42" x14ac:dyDescent="0.25">
      <c r="A22" s="14">
        <v>427</v>
      </c>
      <c r="B22" s="14">
        <v>13263552</v>
      </c>
      <c r="C22" s="5">
        <v>7426389</v>
      </c>
      <c r="D22" s="5" t="str">
        <f>VLOOKUP(C22,[1]Planilha2!$D$1:$E$65536,2,0)</f>
        <v>VULTS</v>
      </c>
      <c r="E22" s="14">
        <v>43667419</v>
      </c>
      <c r="F22" s="14" t="s">
        <v>81</v>
      </c>
      <c r="G22" s="14" t="s">
        <v>98</v>
      </c>
      <c r="H22" s="6">
        <v>46147</v>
      </c>
      <c r="I22" s="13"/>
      <c r="J22" s="3">
        <v>36</v>
      </c>
      <c r="K22" s="4"/>
      <c r="L22" s="4"/>
      <c r="M22" s="4"/>
      <c r="N22" s="4"/>
      <c r="O22" s="4"/>
      <c r="P22" s="4" t="s">
        <v>109</v>
      </c>
      <c r="Q22" s="4" t="s">
        <v>109</v>
      </c>
      <c r="R22" s="4">
        <v>1</v>
      </c>
      <c r="S22" s="4">
        <v>2</v>
      </c>
      <c r="T22" s="4">
        <v>3</v>
      </c>
      <c r="U22" s="4">
        <v>3</v>
      </c>
      <c r="V22" s="4">
        <v>2</v>
      </c>
      <c r="W22" s="4">
        <v>1</v>
      </c>
      <c r="X22" s="4" t="s">
        <v>109</v>
      </c>
      <c r="Y22" s="4" t="s">
        <v>109</v>
      </c>
      <c r="Z22" s="4" t="s">
        <v>109</v>
      </c>
      <c r="AA22" s="4" t="s">
        <v>109</v>
      </c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spans="1:42" x14ac:dyDescent="0.25">
      <c r="A23" s="14">
        <v>429</v>
      </c>
      <c r="B23" s="14">
        <v>13263489</v>
      </c>
      <c r="C23" s="5">
        <v>5274747</v>
      </c>
      <c r="D23" s="5" t="str">
        <f>VLOOKUP(C23,[1]Planilha2!$D$1:$E$65536,2,0)</f>
        <v>AZABA</v>
      </c>
      <c r="E23" s="14">
        <v>43616206</v>
      </c>
      <c r="F23" s="14" t="s">
        <v>99</v>
      </c>
      <c r="G23" s="14" t="s">
        <v>100</v>
      </c>
      <c r="H23" s="6">
        <v>46147</v>
      </c>
      <c r="I23" s="13"/>
      <c r="J23" s="3">
        <v>48</v>
      </c>
      <c r="K23" s="4"/>
      <c r="L23" s="4"/>
      <c r="M23" s="4"/>
      <c r="N23" s="4"/>
      <c r="O23" s="4"/>
      <c r="P23" s="4" t="s">
        <v>109</v>
      </c>
      <c r="Q23" s="4" t="s">
        <v>109</v>
      </c>
      <c r="R23" s="4">
        <v>1</v>
      </c>
      <c r="S23" s="4">
        <v>2</v>
      </c>
      <c r="T23" s="4">
        <v>3</v>
      </c>
      <c r="U23" s="4">
        <v>3</v>
      </c>
      <c r="V23" s="4">
        <v>2</v>
      </c>
      <c r="W23" s="4">
        <v>1</v>
      </c>
      <c r="X23" s="4" t="s">
        <v>109</v>
      </c>
      <c r="Y23" s="4" t="s">
        <v>109</v>
      </c>
      <c r="Z23" s="4" t="s">
        <v>109</v>
      </c>
      <c r="AA23" s="4" t="s">
        <v>109</v>
      </c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spans="1:42" x14ac:dyDescent="0.25">
      <c r="A24" s="14">
        <v>436</v>
      </c>
      <c r="B24" s="14">
        <v>13263547</v>
      </c>
      <c r="C24" s="5">
        <v>7426398</v>
      </c>
      <c r="D24" s="5" t="str">
        <f>VLOOKUP(C24,[1]Planilha2!$D$1:$E$65536,2,0)</f>
        <v>VULTS</v>
      </c>
      <c r="E24" s="14">
        <v>43927547</v>
      </c>
      <c r="F24" s="14" t="s">
        <v>101</v>
      </c>
      <c r="G24" s="14" t="s">
        <v>102</v>
      </c>
      <c r="H24" s="6">
        <v>46178</v>
      </c>
      <c r="I24" s="13"/>
      <c r="J24" s="3">
        <v>48</v>
      </c>
      <c r="K24" s="4"/>
      <c r="L24" s="4"/>
      <c r="M24" s="4"/>
      <c r="N24" s="4"/>
      <c r="O24" s="4"/>
      <c r="P24" s="4" t="s">
        <v>109</v>
      </c>
      <c r="Q24" s="4" t="s">
        <v>109</v>
      </c>
      <c r="R24" s="4">
        <v>1</v>
      </c>
      <c r="S24" s="4">
        <v>2</v>
      </c>
      <c r="T24" s="4">
        <v>3</v>
      </c>
      <c r="U24" s="4">
        <v>3</v>
      </c>
      <c r="V24" s="4">
        <v>2</v>
      </c>
      <c r="W24" s="4">
        <v>1</v>
      </c>
      <c r="X24" s="4" t="s">
        <v>109</v>
      </c>
      <c r="Y24" s="4" t="s">
        <v>109</v>
      </c>
      <c r="Z24" s="4" t="s">
        <v>109</v>
      </c>
      <c r="AA24" s="4" t="s">
        <v>109</v>
      </c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spans="1:42" x14ac:dyDescent="0.25">
      <c r="A25" s="14">
        <v>441</v>
      </c>
      <c r="B25" s="14">
        <v>13263549</v>
      </c>
      <c r="C25" s="5">
        <v>7426399</v>
      </c>
      <c r="D25" s="5" t="str">
        <f>VLOOKUP(C25,[1]Planilha2!$D$1:$E$65536,2,0)</f>
        <v>VULTS</v>
      </c>
      <c r="E25" s="14">
        <v>43299316</v>
      </c>
      <c r="F25" s="14" t="s">
        <v>91</v>
      </c>
      <c r="G25" s="14" t="s">
        <v>79</v>
      </c>
      <c r="H25" s="6">
        <v>46178</v>
      </c>
      <c r="I25" s="13"/>
      <c r="J25" s="3">
        <v>60</v>
      </c>
      <c r="K25" s="4"/>
      <c r="L25" s="4"/>
      <c r="M25" s="4"/>
      <c r="N25" s="4"/>
      <c r="O25" s="4"/>
      <c r="P25" s="4" t="s">
        <v>109</v>
      </c>
      <c r="Q25" s="4" t="s">
        <v>109</v>
      </c>
      <c r="R25" s="4">
        <v>1</v>
      </c>
      <c r="S25" s="4">
        <v>2</v>
      </c>
      <c r="T25" s="4">
        <v>3</v>
      </c>
      <c r="U25" s="4">
        <v>3</v>
      </c>
      <c r="V25" s="4">
        <v>2</v>
      </c>
      <c r="W25" s="4">
        <v>1</v>
      </c>
      <c r="X25" s="4" t="s">
        <v>109</v>
      </c>
      <c r="Y25" s="4" t="s">
        <v>109</v>
      </c>
      <c r="Z25" s="4" t="s">
        <v>109</v>
      </c>
      <c r="AA25" s="4" t="s">
        <v>109</v>
      </c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</row>
    <row r="26" spans="1:42" x14ac:dyDescent="0.25">
      <c r="A26" s="14">
        <v>442</v>
      </c>
      <c r="B26" s="14">
        <v>13263498</v>
      </c>
      <c r="C26" s="5">
        <v>5274759</v>
      </c>
      <c r="D26" s="5" t="str">
        <f>VLOOKUP(C26,[1]Planilha2!$D$1:$E$65536,2,0)</f>
        <v>AZABA</v>
      </c>
      <c r="E26" s="14">
        <v>43263432</v>
      </c>
      <c r="F26" s="14" t="s">
        <v>74</v>
      </c>
      <c r="G26" s="14" t="s">
        <v>103</v>
      </c>
      <c r="H26" s="6">
        <v>46178</v>
      </c>
      <c r="I26" s="13"/>
      <c r="J26" s="3">
        <v>36</v>
      </c>
      <c r="K26" s="4"/>
      <c r="L26" s="4"/>
      <c r="M26" s="4"/>
      <c r="N26" s="4"/>
      <c r="O26" s="4"/>
      <c r="P26" s="4" t="s">
        <v>109</v>
      </c>
      <c r="Q26" s="4" t="s">
        <v>109</v>
      </c>
      <c r="R26" s="4">
        <v>1</v>
      </c>
      <c r="S26" s="4">
        <v>2</v>
      </c>
      <c r="T26" s="4">
        <v>3</v>
      </c>
      <c r="U26" s="4">
        <v>3</v>
      </c>
      <c r="V26" s="4">
        <v>2</v>
      </c>
      <c r="W26" s="4">
        <v>1</v>
      </c>
      <c r="X26" s="4" t="s">
        <v>109</v>
      </c>
      <c r="Y26" s="4" t="s">
        <v>109</v>
      </c>
      <c r="Z26" s="4" t="s">
        <v>109</v>
      </c>
      <c r="AA26" s="4" t="s">
        <v>109</v>
      </c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</row>
    <row r="27" spans="1:42" x14ac:dyDescent="0.25">
      <c r="A27" s="14">
        <v>443</v>
      </c>
      <c r="B27" s="14">
        <v>13263561</v>
      </c>
      <c r="C27" s="5">
        <v>7426391</v>
      </c>
      <c r="D27" s="5" t="str">
        <f>VLOOKUP(C27,[1]Planilha2!$D$1:$E$65536,2,0)</f>
        <v>VULTS</v>
      </c>
      <c r="E27" s="14">
        <v>43299316</v>
      </c>
      <c r="F27" s="14" t="s">
        <v>91</v>
      </c>
      <c r="G27" s="14" t="s">
        <v>79</v>
      </c>
      <c r="H27" s="6">
        <v>46147</v>
      </c>
      <c r="I27" s="13"/>
      <c r="J27" s="3">
        <v>48</v>
      </c>
      <c r="K27" s="4"/>
      <c r="L27" s="4"/>
      <c r="M27" s="4"/>
      <c r="N27" s="4"/>
      <c r="O27" s="4"/>
      <c r="P27" s="4" t="s">
        <v>109</v>
      </c>
      <c r="Q27" s="4" t="s">
        <v>109</v>
      </c>
      <c r="R27" s="4">
        <v>1</v>
      </c>
      <c r="S27" s="4">
        <v>2</v>
      </c>
      <c r="T27" s="4">
        <v>3</v>
      </c>
      <c r="U27" s="4">
        <v>3</v>
      </c>
      <c r="V27" s="4">
        <v>2</v>
      </c>
      <c r="W27" s="4">
        <v>1</v>
      </c>
      <c r="X27" s="4" t="s">
        <v>109</v>
      </c>
      <c r="Y27" s="4" t="s">
        <v>109</v>
      </c>
      <c r="Z27" s="4" t="s">
        <v>109</v>
      </c>
      <c r="AA27" s="4" t="s">
        <v>109</v>
      </c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</row>
    <row r="28" spans="1:42" x14ac:dyDescent="0.25">
      <c r="A28" s="14">
        <v>444</v>
      </c>
      <c r="B28" s="14">
        <v>13263560</v>
      </c>
      <c r="C28" s="5">
        <v>7426392</v>
      </c>
      <c r="D28" s="5" t="str">
        <f>VLOOKUP(C28,[1]Planilha2!$D$1:$E$65536,2,0)</f>
        <v>VULTS</v>
      </c>
      <c r="E28" s="14">
        <v>43286101</v>
      </c>
      <c r="F28" s="14" t="s">
        <v>104</v>
      </c>
      <c r="G28" s="14" t="s">
        <v>105</v>
      </c>
      <c r="H28" s="6">
        <v>46147</v>
      </c>
      <c r="I28" s="13"/>
      <c r="J28" s="3">
        <v>48</v>
      </c>
      <c r="K28" s="4"/>
      <c r="L28" s="4"/>
      <c r="M28" s="4"/>
      <c r="N28" s="4"/>
      <c r="O28" s="4"/>
      <c r="P28" s="4" t="s">
        <v>109</v>
      </c>
      <c r="Q28" s="4" t="s">
        <v>109</v>
      </c>
      <c r="R28" s="4">
        <v>1</v>
      </c>
      <c r="S28" s="4">
        <v>2</v>
      </c>
      <c r="T28" s="4">
        <v>3</v>
      </c>
      <c r="U28" s="4">
        <v>3</v>
      </c>
      <c r="V28" s="4">
        <v>2</v>
      </c>
      <c r="W28" s="4">
        <v>1</v>
      </c>
      <c r="X28" s="4" t="s">
        <v>109</v>
      </c>
      <c r="Y28" s="4" t="s">
        <v>109</v>
      </c>
      <c r="Z28" s="4" t="s">
        <v>109</v>
      </c>
      <c r="AA28" s="4" t="s">
        <v>109</v>
      </c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</row>
    <row r="29" spans="1:42" x14ac:dyDescent="0.25">
      <c r="A29" s="14">
        <v>445</v>
      </c>
      <c r="B29" s="14">
        <v>13263491</v>
      </c>
      <c r="C29" s="5">
        <v>5274753</v>
      </c>
      <c r="D29" s="5" t="str">
        <f>VLOOKUP(C29,[1]Planilha2!$D$1:$E$65536,2,0)</f>
        <v>AZABA</v>
      </c>
      <c r="E29" s="14">
        <v>43409454</v>
      </c>
      <c r="F29" s="14" t="s">
        <v>89</v>
      </c>
      <c r="G29" s="14" t="s">
        <v>103</v>
      </c>
      <c r="H29" s="6">
        <v>46147</v>
      </c>
      <c r="I29" s="13"/>
      <c r="J29" s="3">
        <v>60</v>
      </c>
      <c r="K29" s="4"/>
      <c r="L29" s="4"/>
      <c r="M29" s="4"/>
      <c r="N29" s="4"/>
      <c r="O29" s="4"/>
      <c r="P29" s="4" t="s">
        <v>109</v>
      </c>
      <c r="Q29" s="4" t="s">
        <v>109</v>
      </c>
      <c r="R29" s="4" t="s">
        <v>109</v>
      </c>
      <c r="S29" s="4" t="s">
        <v>109</v>
      </c>
      <c r="T29" s="4" t="s">
        <v>109</v>
      </c>
      <c r="U29" s="4">
        <v>1</v>
      </c>
      <c r="V29" s="4">
        <v>2</v>
      </c>
      <c r="W29" s="4">
        <v>3</v>
      </c>
      <c r="X29" s="4">
        <v>3</v>
      </c>
      <c r="Y29" s="4">
        <v>2</v>
      </c>
      <c r="Z29" s="4">
        <v>1</v>
      </c>
      <c r="AA29" s="4" t="s">
        <v>109</v>
      </c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</row>
    <row r="30" spans="1:42" x14ac:dyDescent="0.25">
      <c r="A30" s="14">
        <v>446</v>
      </c>
      <c r="B30" s="14">
        <v>13263493</v>
      </c>
      <c r="C30" s="5">
        <v>5274761</v>
      </c>
      <c r="D30" s="5" t="str">
        <f>VLOOKUP(C30,[1]Planilha2!$D$1:$E$65536,2,0)</f>
        <v>AZABA</v>
      </c>
      <c r="E30" s="14">
        <v>43772253</v>
      </c>
      <c r="F30" s="14" t="s">
        <v>106</v>
      </c>
      <c r="G30" s="14" t="s">
        <v>107</v>
      </c>
      <c r="H30" s="6">
        <v>46178</v>
      </c>
      <c r="I30" s="13"/>
      <c r="J30" s="3">
        <v>36</v>
      </c>
      <c r="K30" s="4"/>
      <c r="L30" s="4"/>
      <c r="M30" s="4"/>
      <c r="N30" s="4">
        <v>1</v>
      </c>
      <c r="O30" s="4">
        <v>1</v>
      </c>
      <c r="P30" s="4">
        <v>2</v>
      </c>
      <c r="Q30" s="4">
        <v>2</v>
      </c>
      <c r="R30" s="4">
        <v>3</v>
      </c>
      <c r="S30" s="4">
        <v>3</v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</row>
    <row r="31" spans="1:42" x14ac:dyDescent="0.25">
      <c r="A31" s="14">
        <v>447</v>
      </c>
      <c r="B31" s="14">
        <v>13263487</v>
      </c>
      <c r="C31" s="5">
        <v>5274754</v>
      </c>
      <c r="D31" s="5" t="str">
        <f>VLOOKUP(C31,[1]Planilha2!$D$1:$E$65536,2,0)</f>
        <v>AZABA</v>
      </c>
      <c r="E31" s="14">
        <v>43616206</v>
      </c>
      <c r="F31" s="14" t="s">
        <v>99</v>
      </c>
      <c r="G31" s="14" t="s">
        <v>108</v>
      </c>
      <c r="H31" s="6">
        <v>46147</v>
      </c>
      <c r="I31" s="13"/>
      <c r="J31" s="3">
        <v>48</v>
      </c>
      <c r="K31" s="4"/>
      <c r="L31" s="4"/>
      <c r="M31" s="4"/>
      <c r="N31" s="4"/>
      <c r="O31" s="4"/>
      <c r="P31" s="4" t="s">
        <v>109</v>
      </c>
      <c r="Q31" s="4" t="s">
        <v>109</v>
      </c>
      <c r="R31" s="4">
        <v>1</v>
      </c>
      <c r="S31" s="4">
        <v>2</v>
      </c>
      <c r="T31" s="4">
        <v>3</v>
      </c>
      <c r="U31" s="4">
        <v>3</v>
      </c>
      <c r="V31" s="4">
        <v>2</v>
      </c>
      <c r="W31" s="4">
        <v>1</v>
      </c>
      <c r="X31" s="4" t="s">
        <v>109</v>
      </c>
      <c r="Y31" s="4" t="s">
        <v>109</v>
      </c>
      <c r="Z31" s="4" t="s">
        <v>109</v>
      </c>
      <c r="AA31" s="4" t="s">
        <v>109</v>
      </c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</row>
    <row r="32" spans="1:42" x14ac:dyDescent="0.25">
      <c r="A32" s="14">
        <v>456</v>
      </c>
      <c r="B32" s="14">
        <v>13172702</v>
      </c>
      <c r="C32" s="5">
        <v>7268503</v>
      </c>
      <c r="D32" s="5" t="str">
        <f>VLOOKUP(C32,[1]Planilha2!$D$1:$E$65536,2,0)</f>
        <v>VULTS</v>
      </c>
      <c r="E32" s="14">
        <v>43299316</v>
      </c>
      <c r="F32" s="14" t="s">
        <v>91</v>
      </c>
      <c r="G32" s="14" t="s">
        <v>79</v>
      </c>
      <c r="H32" s="6">
        <v>46172</v>
      </c>
      <c r="I32" s="13"/>
      <c r="J32" s="3">
        <v>84</v>
      </c>
      <c r="K32" s="4"/>
      <c r="L32" s="4"/>
      <c r="M32" s="4"/>
      <c r="N32" s="4"/>
      <c r="O32" s="4"/>
      <c r="P32" s="4"/>
      <c r="Q32" s="4"/>
      <c r="R32" s="4">
        <v>1</v>
      </c>
      <c r="S32" s="4">
        <v>3</v>
      </c>
      <c r="T32" s="4">
        <v>3</v>
      </c>
      <c r="U32" s="4">
        <v>3</v>
      </c>
      <c r="V32" s="4">
        <v>2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</row>
    <row r="33" spans="1:42" x14ac:dyDescent="0.25">
      <c r="A33" s="14">
        <v>467</v>
      </c>
      <c r="B33" s="14">
        <v>13137448</v>
      </c>
      <c r="C33" s="5">
        <v>5215309</v>
      </c>
      <c r="D33" s="5" t="str">
        <f>VLOOKUP(C33,[1]Planilha2!$D$1:$E$65536,2,0)</f>
        <v>AZABA</v>
      </c>
      <c r="E33" s="14">
        <v>43263432</v>
      </c>
      <c r="F33" s="14" t="s">
        <v>74</v>
      </c>
      <c r="G33" s="14" t="s">
        <v>52</v>
      </c>
      <c r="H33" s="6">
        <v>46113</v>
      </c>
      <c r="I33" s="13"/>
      <c r="J33" s="3">
        <v>12</v>
      </c>
      <c r="K33" s="4"/>
      <c r="L33" s="4"/>
      <c r="M33" s="4"/>
      <c r="N33" s="4"/>
      <c r="O33" s="4"/>
      <c r="P33" s="4"/>
      <c r="Q33" s="4">
        <v>1</v>
      </c>
      <c r="R33" s="4">
        <v>2</v>
      </c>
      <c r="S33" s="4">
        <v>3</v>
      </c>
      <c r="T33" s="4">
        <v>3</v>
      </c>
      <c r="U33" s="4">
        <v>2</v>
      </c>
      <c r="V33" s="4">
        <v>1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</row>
    <row r="34" spans="1:42" x14ac:dyDescent="0.25">
      <c r="A34" s="14">
        <v>468</v>
      </c>
      <c r="B34" s="14">
        <v>13249326</v>
      </c>
      <c r="C34" s="5">
        <v>5269322</v>
      </c>
      <c r="D34" s="5" t="str">
        <f>VLOOKUP(C34,[1]Planilha2!$D$1:$E$65536,2,0)</f>
        <v>AZABA</v>
      </c>
      <c r="E34" s="14">
        <v>43406455</v>
      </c>
      <c r="F34" s="14" t="s">
        <v>75</v>
      </c>
      <c r="G34" s="14" t="s">
        <v>50</v>
      </c>
      <c r="H34" s="6">
        <v>46114</v>
      </c>
      <c r="I34" s="13"/>
      <c r="J34" s="3">
        <v>12</v>
      </c>
      <c r="K34" s="4"/>
      <c r="L34" s="4"/>
      <c r="M34" s="4"/>
      <c r="N34" s="4">
        <v>1</v>
      </c>
      <c r="O34" s="4">
        <v>1</v>
      </c>
      <c r="P34" s="4">
        <v>2</v>
      </c>
      <c r="Q34" s="4">
        <v>2</v>
      </c>
      <c r="R34" s="4">
        <v>2</v>
      </c>
      <c r="S34" s="4">
        <v>2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</row>
    <row r="35" spans="1:42" x14ac:dyDescent="0.25">
      <c r="A35" s="14">
        <v>469</v>
      </c>
      <c r="B35" s="14">
        <v>13249325</v>
      </c>
      <c r="C35" s="5">
        <v>5269320</v>
      </c>
      <c r="D35" s="5" t="str">
        <f>VLOOKUP(C35,[1]Planilha2!$D$1:$E$65536,2,0)</f>
        <v>AZABA</v>
      </c>
      <c r="E35" s="14">
        <v>43406455</v>
      </c>
      <c r="F35" s="14" t="s">
        <v>75</v>
      </c>
      <c r="G35" s="14" t="s">
        <v>50</v>
      </c>
      <c r="H35" s="6">
        <v>46114</v>
      </c>
      <c r="I35" s="13"/>
      <c r="J35" s="3">
        <v>12</v>
      </c>
      <c r="K35" s="4"/>
      <c r="L35" s="4"/>
      <c r="M35" s="4"/>
      <c r="N35" s="4">
        <v>1</v>
      </c>
      <c r="O35" s="4">
        <v>1</v>
      </c>
      <c r="P35" s="4">
        <v>2</v>
      </c>
      <c r="Q35" s="4">
        <v>2</v>
      </c>
      <c r="R35" s="4">
        <v>2</v>
      </c>
      <c r="S35" s="4">
        <v>2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</row>
    <row r="36" spans="1:42" x14ac:dyDescent="0.25">
      <c r="A36" s="14">
        <v>470</v>
      </c>
      <c r="B36" s="14">
        <v>13137456</v>
      </c>
      <c r="C36" s="5">
        <v>5215318</v>
      </c>
      <c r="D36" s="5" t="str">
        <f>VLOOKUP(C36,[1]Planilha2!$D$1:$E$65536,2,0)</f>
        <v>AZABA</v>
      </c>
      <c r="E36" s="14">
        <v>43242437</v>
      </c>
      <c r="F36" s="14" t="s">
        <v>53</v>
      </c>
      <c r="G36" s="14" t="s">
        <v>51</v>
      </c>
      <c r="H36" s="6">
        <v>46141</v>
      </c>
      <c r="I36" s="13"/>
      <c r="J36" s="3">
        <v>12</v>
      </c>
      <c r="K36" s="4"/>
      <c r="L36" s="4"/>
      <c r="M36" s="4"/>
      <c r="N36" s="4"/>
      <c r="O36" s="4"/>
      <c r="P36" s="4"/>
      <c r="Q36" s="4"/>
      <c r="R36" s="4"/>
      <c r="S36" s="4"/>
      <c r="T36" s="4">
        <v>1</v>
      </c>
      <c r="U36" s="4">
        <v>1</v>
      </c>
      <c r="V36" s="4">
        <v>2</v>
      </c>
      <c r="W36" s="4">
        <v>2</v>
      </c>
      <c r="X36" s="4">
        <v>2</v>
      </c>
      <c r="Y36" s="4">
        <v>2</v>
      </c>
      <c r="Z36" s="4">
        <v>1</v>
      </c>
      <c r="AA36" s="4">
        <v>1</v>
      </c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</row>
    <row r="37" spans="1:42" x14ac:dyDescent="0.25">
      <c r="A37" s="14">
        <v>471</v>
      </c>
      <c r="B37" s="14">
        <v>13137556</v>
      </c>
      <c r="C37" s="5">
        <v>5215319</v>
      </c>
      <c r="D37" s="5" t="str">
        <f>VLOOKUP(C37,[1]Planilha2!$D$1:$E$65536,2,0)</f>
        <v>AZABA</v>
      </c>
      <c r="E37" s="14">
        <v>43242437</v>
      </c>
      <c r="F37" s="14" t="s">
        <v>53</v>
      </c>
      <c r="G37" s="14" t="s">
        <v>51</v>
      </c>
      <c r="H37" s="6">
        <v>46141</v>
      </c>
      <c r="I37" s="13"/>
      <c r="J37" s="3">
        <v>12</v>
      </c>
      <c r="K37" s="4"/>
      <c r="L37" s="4"/>
      <c r="M37" s="4"/>
      <c r="N37" s="4"/>
      <c r="O37" s="4"/>
      <c r="P37" s="4"/>
      <c r="Q37" s="4"/>
      <c r="R37" s="4"/>
      <c r="S37" s="4"/>
      <c r="T37" s="4">
        <v>1</v>
      </c>
      <c r="U37" s="4">
        <v>1</v>
      </c>
      <c r="V37" s="4">
        <v>2</v>
      </c>
      <c r="W37" s="4">
        <v>2</v>
      </c>
      <c r="X37" s="4">
        <v>2</v>
      </c>
      <c r="Y37" s="4">
        <v>2</v>
      </c>
      <c r="Z37" s="4">
        <v>1</v>
      </c>
      <c r="AA37" s="4">
        <v>1</v>
      </c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</row>
    <row r="38" spans="1:42" x14ac:dyDescent="0.25">
      <c r="A38" s="14">
        <v>472</v>
      </c>
      <c r="B38" s="14">
        <v>13249317</v>
      </c>
      <c r="C38" s="5">
        <v>5269321</v>
      </c>
      <c r="D38" s="5" t="str">
        <f>VLOOKUP(C38,[1]Planilha2!$D$1:$E$65536,2,0)</f>
        <v>AZABA</v>
      </c>
      <c r="E38" s="14">
        <v>43406455</v>
      </c>
      <c r="F38" s="14" t="s">
        <v>75</v>
      </c>
      <c r="G38" s="14" t="s">
        <v>50</v>
      </c>
      <c r="H38" s="15">
        <v>46114</v>
      </c>
      <c r="I38" s="13"/>
      <c r="J38" s="3">
        <v>10</v>
      </c>
      <c r="K38" s="4"/>
      <c r="L38" s="4"/>
      <c r="M38" s="4"/>
      <c r="N38" s="4">
        <v>1</v>
      </c>
      <c r="O38" s="4">
        <v>1</v>
      </c>
      <c r="P38" s="4">
        <v>2</v>
      </c>
      <c r="Q38" s="4">
        <v>2</v>
      </c>
      <c r="R38" s="4">
        <v>2</v>
      </c>
      <c r="S38" s="4">
        <v>2</v>
      </c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</row>
    <row r="39" spans="1:42" x14ac:dyDescent="0.25">
      <c r="C39" s="12"/>
    </row>
    <row r="40" spans="1:42" x14ac:dyDescent="0.25">
      <c r="C40" s="12"/>
    </row>
    <row r="41" spans="1:42" x14ac:dyDescent="0.25">
      <c r="C41" s="12"/>
    </row>
    <row r="42" spans="1:42" x14ac:dyDescent="0.25">
      <c r="C42" s="12"/>
    </row>
    <row r="43" spans="1:42" x14ac:dyDescent="0.25">
      <c r="C43" s="12"/>
    </row>
    <row r="44" spans="1:42" x14ac:dyDescent="0.25">
      <c r="C44" s="12"/>
    </row>
  </sheetData>
  <autoFilter ref="B1:AA6" xr:uid="{D63AD4AA-E078-4C28-AB28-3D04A26ABB28}">
    <sortState xmlns:xlrd2="http://schemas.microsoft.com/office/spreadsheetml/2017/richdata2" ref="B2:AA6">
      <sortCondition ref="H1:H6"/>
    </sortState>
  </autoFilter>
  <phoneticPr fontId="3" type="noConversion"/>
  <conditionalFormatting sqref="B1">
    <cfRule type="duplicateValues" dxfId="1" priority="107"/>
  </conditionalFormatting>
  <conditionalFormatting sqref="B2:B8">
    <cfRule type="duplicateValues" dxfId="0" priority="11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2026-04-17T11:45:50Z</dcterms:modified>
</cp:coreProperties>
</file>